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Archive" sheetId="2" state="hidden" r:id="rId4"/>
    <sheet name="Vehicl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<sst xmlns="http://schemas.openxmlformats.org/spreadsheetml/2006/main" count="25" uniqueCount="25">
  <si>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First name</t>
  </si>
  <si>
    <t xml:space="preserve">Last name</t>
  </si>
  <si>
    <t xml:space="preserve">Phone</t>
  </si>
  <si>
    <t xml:space="preserve">Customer since</t>
  </si>
  <si>
    <t xml:space="preserve">Last visit</t>
  </si>
  <si>
    <t xml:space="preserve">Callback</t>
  </si>
  <si>
    <t xml:space="preserve">Balance</t>
  </si>
  <si>
    <t xml:space="preserve">Tax exempt</t>
  </si>
  <si>
    <t xml:space="preserve">Notes</t>
  </si>
  <si>
    <t xml:space="preserve">Dana</t>
  </si>
  <si>
    <t xml:space="preserve">O'Brien</t>
  </si>
  <si>
    <t xml:space="preserve">Rides a RZR &amp; a Sportsman &lt;2 seats&gt;</t>
  </si>
  <si>
    <t xml:space="preserve">Zoë</t>
  </si>
  <si>
    <t xml:space="preserve">Müller</t>
  </si>
  <si>
    <t xml:space="preserve">(814) 555-0123</t>
  </si>
  <si>
    <t xml:space="preserve">Gate code 1234
Call first</t>
  </si>
  <si>
    <t xml:space="preserve">Lee</t>
  </si>
  <si>
    <t xml:space="preserve">01234</t>
  </si>
  <si>
    <t xml:space="preserve"> Sam  </t>
  </si>
  <si>
    <t xml:space="preserve">Not imported</t>
  </si>
  <si>
    <t xml:space="preserve">VIN</t>
  </si>
  <si>
    <t xml:space="preserve">Year</t>
  </si>
  <si>
    <t xml:space="preserve">Model</t>
  </si>
  <si>
    <t xml:space="preserve">4XASEE57XPA123456</t>
  </si>
  <si>
    <t xml:space="preserve">Sportsman 570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</si>
</sst>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yyyy\-mm\-dd\ hh:mm"/>
    <numFmt numFmtId="167" formatCode="hh:mm"/>
    <numFmt numFmtId="168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n">
        <v>8145550199</v>
      </c>
      <c r="D2" s="1" t="n">
        <v>43529</v>
      </c>
      <c r="E2" s="2" t="n">
        <v>45444.3854166667</v>
      </c>
      <c r="F2" s="3" t="n">
        <v>0.572916666666667</v>
      </c>
      <c r="G2" s="0" t="n">
        <v>1.5</v>
      </c>
      <c r="H2" s="4" t="b">
        <v>0</v>
      </c>
      <c r="I2" s="0" t="s">
        <v>11</v>
      </c>
    </row>
    <row r="3" customFormat="false" ht="23.85" hidden="false" customHeight="false" outlineLevel="0" collapsed="false">
      <c r="A3" s="0" t="s">
        <v>12</v>
      </c>
      <c r="B3" s="0" t="s">
        <v>13</v>
      </c>
      <c r="C3" s="0" t="s">
        <v>14</v>
      </c>
      <c r="D3" s="1" t="n">
        <v>45250</v>
      </c>
      <c r="G3" s="0" t="n">
        <v>0.3</v>
      </c>
      <c r="H3" s="4" t="b">
        <v>1</v>
      </c>
      <c r="I3" s="5" t="s">
        <v>15</v>
      </c>
    </row>
    <row r="5" customFormat="false" ht="12.8" hidden="false" customHeight="false" outlineLevel="0" collapsed="false">
      <c r="A5" s="0" t="s">
        <v>16</v>
      </c>
      <c r="C5" s="0" t="s">
        <v>17</v>
      </c>
      <c r="G5" s="0" t="n">
        <f aca="false">G2+G3</f>
        <v>1.8</v>
      </c>
      <c r="H5" s="0" t="e">
        <f aca="false">1/0</f>
        <v>#DIV/0!</v>
      </c>
      <c r="I5" s="0" t="str">
        <f aca="false">"VIP "&amp;A2</f>
        <v>VIP Dana</v>
      </c>
    </row>
    <row r="6" customFormat="false" ht="12.8" hidden="false" customHeight="false" outlineLevel="0" collapsed="false">
      <c r="A6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20</v>
      </c>
      <c r="B1" s="0" t="s">
        <v>21</v>
      </c>
      <c r="C1" s="0" t="s">
        <v>22</v>
      </c>
    </row>
    <row r="2" customFormat="false" ht="12.8" hidden="false" customHeight="false" outlineLevel="0" collapsed="false">
      <c r="A2" s="0" t="s">
        <v>23</v>
      </c>
      <c r="B2" s="0" t="n">
        <v>2023</v>
      </c>
      <c r="C2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